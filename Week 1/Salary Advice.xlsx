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MCA 43\Week 1\"/>
    </mc:Choice>
  </mc:AlternateContent>
  <xr:revisionPtr revIDLastSave="0" documentId="13_ncr:1_{B99108D8-8BEB-4439-A90E-5E9A7D7018EE}" xr6:coauthVersionLast="47" xr6:coauthVersionMax="47" xr10:uidLastSave="{00000000-0000-0000-0000-000000000000}"/>
  <bookViews>
    <workbookView xWindow="-120" yWindow="-120" windowWidth="20730" windowHeight="11040" xr2:uid="{8E9CFBCE-0F47-4071-94AD-AD1AD74B0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9  Page 14_ff9b5861-7ea5-4e7d-859e-148893691bff" name="Table009  Page 14" connection="Query - Table009 (Page 14)"/>
          <x15:modelTable id="Table010  Page 14_b7052477-5c66-4992-bafd-96d2be4775e0" name="Table010  Page 14" connection="Query - Table010 (Page 1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D9" i="1"/>
  <c r="D7" i="1"/>
  <c r="D5" i="1"/>
  <c r="D1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8CC9D5-8D82-4B0D-AA00-40B40D506065}" name="Query - Table009 (Page 14)" description="Connection to the 'Table009 (Page 14)' query in the workbook." type="100" refreshedVersion="8" minRefreshableVersion="5">
    <extLst>
      <ext xmlns:x15="http://schemas.microsoft.com/office/spreadsheetml/2010/11/main" uri="{DE250136-89BD-433C-8126-D09CA5730AF9}">
        <x15:connection id="ef4c2d46-b452-43e6-ab04-c3913c6c99f1"/>
      </ext>
    </extLst>
  </connection>
  <connection id="2" xr16:uid="{C42C84EF-BAEA-45C8-954B-98D9DA3AC5EC}" name="Query - Table010 (Page 14)" description="Connection to the 'Table010 (Page 14)' query in the workbook." type="100" refreshedVersion="8" minRefreshableVersion="5">
    <extLst>
      <ext xmlns:x15="http://schemas.microsoft.com/office/spreadsheetml/2010/11/main" uri="{DE250136-89BD-433C-8126-D09CA5730AF9}">
        <x15:connection id="465e9a62-d48a-44a6-ac66-22be49675865"/>
      </ext>
    </extLst>
  </connection>
  <connection id="3" xr16:uid="{83BDC981-68E1-4780-AA5E-C54D0BA9A0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<sst xmlns="http://schemas.openxmlformats.org/spreadsheetml/2006/main" count="23" uniqueCount="22">
  <si>
    <t>BASICSALARYp.a.</t>
  </si>
  <si>
    <t>31200.00</t>
  </si>
  <si>
    <t>EMPLOYEE</t>
  </si>
  <si>
    <t>004</t>
  </si>
  <si>
    <t>DATE</t>
  </si>
  <si>
    <t>Pension@8%</t>
  </si>
  <si>
    <t>P.A.Y.E.</t>
  </si>
  <si>
    <t>U.I.F.</t>
  </si>
  <si>
    <t>Income</t>
  </si>
  <si>
    <t>Amount</t>
  </si>
  <si>
    <t>deductions</t>
  </si>
  <si>
    <t>Basic Salary</t>
  </si>
  <si>
    <t>Housing Subsidy</t>
  </si>
  <si>
    <t>Vehicle Allowance</t>
  </si>
  <si>
    <t>Medical Aid</t>
  </si>
  <si>
    <t>Gross Income</t>
  </si>
  <si>
    <t>Bond Repayment</t>
  </si>
  <si>
    <t>Total Deductions</t>
  </si>
  <si>
    <t>T MARONGO</t>
  </si>
  <si>
    <t>STAFF NO</t>
  </si>
  <si>
    <t>NEXT PAY DATE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</si>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</sst>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NumberFormat="1" applyFont="1" applyBorder="1"/>
    <xf numFmtId="0" fontId="0" fillId="0" borderId="3" xfId="0" applyNumberFormat="1" applyFont="1" applyBorder="1"/>
    <xf numFmtId="0" fontId="0" fillId="0" borderId="2" xfId="0" applyNumberFormat="1" applyFont="1" applyBorder="1"/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2" xfId="0" applyNumberFormat="1" applyFont="1" applyFill="1" applyBorder="1"/>
    <xf numFmtId="15" fontId="0" fillId="2" borderId="3" xfId="0" applyNumberFormat="1" applyFont="1" applyFill="1" applyBorder="1"/>
    <xf numFmtId="15" fontId="0" fillId="2" borderId="2" xfId="0" applyNumberFormat="1" applyFont="1" applyFill="1" applyBorder="1"/>
    <xf numFmtId="2" fontId="0" fillId="0" borderId="0" xfId="0" applyNumberFormat="1"/>
    <xf numFmtId="2" fontId="0" fillId="2" borderId="1" xfId="0" applyNumberFormat="1" applyFont="1" applyFill="1" applyBorder="1"/>
    <xf numFmtId="2" fontId="0" fillId="0" borderId="1" xfId="0" applyNumberFormat="1" applyFont="1" applyBorder="1"/>
    <xf numFmtId="164" fontId="0" fillId="0" borderId="0" xfId="0" applyNumberFormat="1"/>
    <xf numFmtId="164" fontId="0" fillId="0" borderId="2" xfId="0" applyNumberFormat="1" applyFont="1" applyBorder="1"/>
    <xf numFmtId="164" fontId="0" fillId="2" borderId="2" xfId="0" applyNumberFormat="1" applyFont="1" applyFill="1" applyBorder="1"/>
    <xf numFmtId="164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9AB4-EB0A-48A4-8A13-4420CDFC0790}">
  <dimension ref="A1:I13"/>
  <sheetViews>
    <sheetView tabSelected="1" zoomScaleNormal="100" workbookViewId="0">
      <selection activeCell="A11" sqref="A11"/>
    </sheetView>
  </sheetViews>
  <sheetFormatPr defaultRowHeight="15" x14ac:dyDescent="0.25"/>
  <cols>
    <col min="1" max="2" width="18.140625" customWidth="1"/>
    <col min="3" max="3" width="18.42578125" customWidth="1"/>
    <col min="4" max="4" width="18.140625" customWidth="1"/>
  </cols>
  <sheetData>
    <row r="1" spans="1:9" x14ac:dyDescent="0.25">
      <c r="A1" s="1" t="s">
        <v>2</v>
      </c>
      <c r="B1" s="2" t="s">
        <v>18</v>
      </c>
      <c r="C1" s="2" t="s">
        <v>19</v>
      </c>
      <c r="D1" s="3" t="s">
        <v>3</v>
      </c>
    </row>
    <row r="2" spans="1:9" x14ac:dyDescent="0.25">
      <c r="A2" s="4" t="s">
        <v>4</v>
      </c>
      <c r="B2" s="7">
        <v>42735</v>
      </c>
      <c r="C2" s="5" t="s">
        <v>20</v>
      </c>
      <c r="D2" s="8">
        <v>42765</v>
      </c>
    </row>
    <row r="3" spans="1:9" x14ac:dyDescent="0.25">
      <c r="A3" s="4" t="s">
        <v>0</v>
      </c>
      <c r="B3" s="5" t="s">
        <v>1</v>
      </c>
      <c r="C3" s="5"/>
      <c r="D3" s="6"/>
    </row>
    <row r="4" spans="1:9" x14ac:dyDescent="0.25">
      <c r="A4" s="9" t="s">
        <v>8</v>
      </c>
      <c r="B4" s="9" t="s">
        <v>9</v>
      </c>
      <c r="C4" s="9" t="s">
        <v>10</v>
      </c>
      <c r="D4" s="9" t="s">
        <v>9</v>
      </c>
    </row>
    <row r="5" spans="1:9" x14ac:dyDescent="0.25">
      <c r="A5" s="10" t="s">
        <v>11</v>
      </c>
      <c r="B5" s="12">
        <v>2600</v>
      </c>
      <c r="C5" s="14" t="s">
        <v>5</v>
      </c>
      <c r="D5" s="12">
        <f>B5*0.08</f>
        <v>208</v>
      </c>
    </row>
    <row r="6" spans="1:9" x14ac:dyDescent="0.25">
      <c r="A6" s="11" t="s">
        <v>12</v>
      </c>
      <c r="B6" s="12">
        <v>500</v>
      </c>
      <c r="C6" s="13" t="s">
        <v>6</v>
      </c>
      <c r="D6" s="12">
        <v>636.83000000000004</v>
      </c>
    </row>
    <row r="7" spans="1:9" x14ac:dyDescent="0.25">
      <c r="A7" s="10" t="s">
        <v>13</v>
      </c>
      <c r="B7" s="12">
        <v>100</v>
      </c>
      <c r="C7" s="14" t="s">
        <v>7</v>
      </c>
      <c r="D7" s="12">
        <f>0.01*B5+B6</f>
        <v>526</v>
      </c>
    </row>
    <row r="8" spans="1:9" x14ac:dyDescent="0.25">
      <c r="A8" s="11" t="s">
        <v>14</v>
      </c>
      <c r="B8" s="12">
        <v>70</v>
      </c>
      <c r="C8" s="13" t="s">
        <v>16</v>
      </c>
      <c r="D8" s="12">
        <v>630</v>
      </c>
    </row>
    <row r="9" spans="1:9" x14ac:dyDescent="0.25">
      <c r="A9" s="10" t="s">
        <v>15</v>
      </c>
      <c r="B9" s="12">
        <f>B5+B6+B7+B8</f>
        <v>3270</v>
      </c>
      <c r="C9" s="14" t="s">
        <v>17</v>
      </c>
      <c r="D9" s="12">
        <f>D5+D6+D7+D8</f>
        <v>2000.83</v>
      </c>
    </row>
    <row r="10" spans="1:9" x14ac:dyDescent="0.25">
      <c r="A10" s="9"/>
      <c r="B10" s="12"/>
      <c r="C10" s="12"/>
      <c r="D10" s="12"/>
    </row>
    <row r="11" spans="1:9" x14ac:dyDescent="0.25">
      <c r="A11" s="9"/>
      <c r="B11" s="12"/>
      <c r="C11" s="15" t="s">
        <v>21</v>
      </c>
      <c r="D11" s="12">
        <f>B9-D9</f>
        <v>1269.17</v>
      </c>
    </row>
    <row r="13" spans="1:9" x14ac:dyDescent="0.25">
      <c r="I13" s="12"/>
    </row>
  </sheetData>
  <pageMargins left="0.7" right="0.7" top="0.75" bottom="0.75" header="0.3" footer="0.3"/>
  <pageSetup orientation="portrait" r:id="rId1"/>
  <headerFooter>
    <oddFooter>&amp;CMohd Owaish | CAMS1P01 | Ques No. 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39063F-20E0-4773-AED4-D494F56818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2026-08-18T07:34:13Z</dcterms:created>
  <dcterms:modified xsi:type="dcterms:W3CDTF">2026-08-20T09:26:42Z</dcterms:modified>
</cp:coreProperties>
</file>