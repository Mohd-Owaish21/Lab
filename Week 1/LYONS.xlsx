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MCA 43\Week 1\"/>
    </mc:Choice>
  </mc:AlternateContent>
  <xr:revisionPtr revIDLastSave="0" documentId="13_ncr:1_{CFC1442A-2A10-467D-A747-F7C18FAEFA1B}" xr6:coauthVersionLast="47" xr6:coauthVersionMax="47" xr10:uidLastSave="{00000000-0000-0000-0000-000000000000}"/>
  <bookViews>
    <workbookView xWindow="-120" yWindow="-120" windowWidth="20730" windowHeight="11040" xr2:uid="{EDDC24BD-28D2-4F12-B012-749AA631C969}"/>
  </bookViews>
  <sheets>
    <sheet name="LYONS2" sheetId="1" r:id="rId1"/>
    <sheet name="Formu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  <c r="D2" i="1" s="1"/>
  <c r="E10" i="1"/>
  <c r="E9" i="1"/>
  <c r="E8" i="1"/>
  <c r="D3" i="1"/>
  <c r="F3" i="1" s="1"/>
  <c r="G3" i="1" s="1"/>
  <c r="D4" i="1"/>
  <c r="F4" i="1" s="1"/>
  <c r="G4" i="1" s="1"/>
  <c r="D5" i="1"/>
  <c r="F5" i="1" s="1"/>
  <c r="G5" i="1" s="1"/>
  <c r="D6" i="1"/>
  <c r="F6" i="1" s="1"/>
  <c r="G6" i="1" s="1"/>
  <c r="D10" i="1" l="1"/>
  <c r="F2" i="1"/>
  <c r="G2" i="1" s="1"/>
  <c r="G10" i="1" s="1"/>
  <c r="D8" i="1"/>
  <c r="D9" i="1"/>
  <c r="F9" i="1" l="1"/>
  <c r="F8" i="1"/>
  <c r="G8" i="1"/>
  <c r="F10" i="1"/>
  <c r="G9" i="1"/>
</calcChain>
</file>

<file path=xl/sharedStrings.xml><?xml version="1.0" encoding="utf-8"?>
<sst xmlns="http://schemas.openxmlformats.org/spreadsheetml/2006/main" count="32" uniqueCount="26">
  <si>
    <t>Product</t>
  </si>
  <si>
    <t>Cost Price Per Litre</t>
  </si>
  <si>
    <t>Mark Up Per Item 35%</t>
  </si>
  <si>
    <t>Selling Price</t>
  </si>
  <si>
    <t>Litres Sold</t>
  </si>
  <si>
    <t>Total Income</t>
  </si>
  <si>
    <t>Profit</t>
  </si>
  <si>
    <t>Cascade</t>
  </si>
  <si>
    <t>Quench</t>
  </si>
  <si>
    <t>Xtra</t>
  </si>
  <si>
    <t>Sun Splash</t>
  </si>
  <si>
    <t>House Brand</t>
  </si>
  <si>
    <t>Highest</t>
  </si>
  <si>
    <t>Lowest</t>
  </si>
  <si>
    <t>Average</t>
  </si>
  <si>
    <t>Calculation</t>
  </si>
  <si>
    <t>Formula</t>
  </si>
  <si>
    <t>Mark Up</t>
  </si>
  <si>
    <t>=B2*0.35</t>
  </si>
  <si>
    <t>=B2+C2</t>
  </si>
  <si>
    <t>=E2+D2</t>
  </si>
  <si>
    <t>=F2-(B2*E2)</t>
  </si>
  <si>
    <t>=AVERAGE(D2:D6)</t>
  </si>
  <si>
    <t>=MAX(D2:D6)</t>
  </si>
  <si>
    <t>=MIN(D2:D6)</t>
  </si>
  <si>
    <t>Cell Reference 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</si>
</sst>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2" fontId="0" fillId="0" borderId="4" xfId="0" applyNumberFormat="1" applyBorder="1"/>
    <xf numFmtId="1" fontId="0" fillId="0" borderId="4" xfId="0" applyNumberFormat="1" applyBorder="1"/>
    <xf numFmtId="164" fontId="0" fillId="0" borderId="4" xfId="0" applyNumberForma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2" fontId="0" fillId="0" borderId="2" xfId="0" applyNumberFormat="1" applyBorder="1"/>
    <xf numFmtId="2" fontId="0" fillId="0" borderId="8" xfId="0" applyNumberFormat="1" applyBorder="1"/>
    <xf numFmtId="0" fontId="1" fillId="0" borderId="3" xfId="0" applyFont="1" applyBorder="1"/>
    <xf numFmtId="0" fontId="0" fillId="0" borderId="9" xfId="0" applyBorder="1"/>
    <xf numFmtId="0" fontId="0" fillId="0" borderId="10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 Price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LYONS2!$B$1</c:f>
              <c:strCache>
                <c:ptCount val="1"/>
                <c:pt idx="0">
                  <c:v>Cost Price 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CD-4665-A110-1C4D09DFB8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CD-4665-A110-1C4D09DFB8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CD-4665-A110-1C4D09DFB8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CD-4665-A110-1C4D09DFB8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CD-4665-A110-1C4D09DFB8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LYONS2!$A$2:$A$6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LYONS2!$B$2:$B$6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7-4CAF-A8BF-2338D2EB09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11</xdr:row>
      <xdr:rowOff>0</xdr:rowOff>
    </xdr:from>
    <xdr:to>
      <xdr:col>5</xdr:col>
      <xdr:colOff>22860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03BA8-7B95-E761-85C8-E9F1C90EA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66AB-2901-4D8D-850C-0A260E998398}">
  <dimension ref="A1:H10"/>
  <sheetViews>
    <sheetView tabSelected="1" workbookViewId="0">
      <selection activeCell="H7" sqref="H7"/>
    </sheetView>
  </sheetViews>
  <sheetFormatPr defaultRowHeight="15"/>
  <cols>
    <col min="1" max="1" width="12.42578125" customWidth="1"/>
    <col min="2" max="2" width="18.140625" customWidth="1"/>
    <col min="3" max="3" width="20.140625" customWidth="1"/>
    <col min="4" max="4" width="12.7109375" customWidth="1"/>
    <col min="5" max="5" width="12.28515625" customWidth="1"/>
    <col min="6" max="6" width="14.140625" customWidth="1"/>
    <col min="8" max="8" width="18.140625" customWidth="1"/>
  </cols>
  <sheetData>
    <row r="1" spans="1:8" ht="20.25" customHeight="1" thickBot="1">
      <c r="A1" s="15" t="s">
        <v>0</v>
      </c>
      <c r="B1" s="12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20" t="s">
        <v>25</v>
      </c>
    </row>
    <row r="2" spans="1:8">
      <c r="A2" s="16" t="s">
        <v>7</v>
      </c>
      <c r="B2" s="13">
        <v>3.75</v>
      </c>
      <c r="C2" s="7">
        <f>$H$2*B2</f>
        <v>1.3125</v>
      </c>
      <c r="D2" s="7">
        <f>B2+C2</f>
        <v>5.0625</v>
      </c>
      <c r="E2" s="8">
        <v>234</v>
      </c>
      <c r="F2" s="9">
        <f>E2*D2</f>
        <v>1184.625</v>
      </c>
      <c r="G2" s="9">
        <f>F2-(B2*E2)</f>
        <v>307.125</v>
      </c>
      <c r="H2">
        <v>0.35</v>
      </c>
    </row>
    <row r="3" spans="1:8">
      <c r="A3" s="17" t="s">
        <v>8</v>
      </c>
      <c r="B3" s="14">
        <v>3.65</v>
      </c>
      <c r="C3" s="7">
        <f t="shared" ref="C3:C6" si="0">$H$2*B3</f>
        <v>1.2774999999999999</v>
      </c>
      <c r="D3" s="4">
        <f t="shared" ref="D3:D6" si="1">B3+C3</f>
        <v>4.9275000000000002</v>
      </c>
      <c r="E3" s="5">
        <v>345</v>
      </c>
      <c r="F3" s="6">
        <f t="shared" ref="F3:F6" si="2">E3*D3</f>
        <v>1699.9875000000002</v>
      </c>
      <c r="G3" s="6">
        <f t="shared" ref="G3:G6" si="3">F3-(B3*E3)</f>
        <v>440.73750000000018</v>
      </c>
    </row>
    <row r="4" spans="1:8">
      <c r="A4" s="17" t="s">
        <v>9</v>
      </c>
      <c r="B4" s="14">
        <v>4.25</v>
      </c>
      <c r="C4" s="7">
        <f t="shared" si="0"/>
        <v>1.4874999999999998</v>
      </c>
      <c r="D4" s="4">
        <f t="shared" si="1"/>
        <v>5.7374999999999998</v>
      </c>
      <c r="E4" s="5">
        <v>456</v>
      </c>
      <c r="F4" s="6">
        <f t="shared" si="2"/>
        <v>2616.2999999999997</v>
      </c>
      <c r="G4" s="6">
        <f t="shared" si="3"/>
        <v>678.29999999999973</v>
      </c>
    </row>
    <row r="5" spans="1:8">
      <c r="A5" s="17" t="s">
        <v>10</v>
      </c>
      <c r="B5" s="14">
        <v>1.5</v>
      </c>
      <c r="C5" s="7">
        <f t="shared" si="0"/>
        <v>0.52499999999999991</v>
      </c>
      <c r="D5" s="4">
        <f t="shared" si="1"/>
        <v>2.0249999999999999</v>
      </c>
      <c r="E5" s="5">
        <v>123</v>
      </c>
      <c r="F5" s="6">
        <f t="shared" si="2"/>
        <v>249.07499999999999</v>
      </c>
      <c r="G5" s="6">
        <f t="shared" si="3"/>
        <v>64.574999999999989</v>
      </c>
    </row>
    <row r="6" spans="1:8">
      <c r="A6" s="17" t="s">
        <v>11</v>
      </c>
      <c r="B6" s="14">
        <v>1.5</v>
      </c>
      <c r="C6" s="7">
        <f t="shared" si="0"/>
        <v>0.52499999999999991</v>
      </c>
      <c r="D6" s="4">
        <f t="shared" si="1"/>
        <v>2.0249999999999999</v>
      </c>
      <c r="E6" s="5">
        <v>245</v>
      </c>
      <c r="F6" s="6">
        <f t="shared" si="2"/>
        <v>496.125</v>
      </c>
      <c r="G6" s="6">
        <f t="shared" si="3"/>
        <v>128.625</v>
      </c>
    </row>
    <row r="7" spans="1:8">
      <c r="A7" s="17"/>
      <c r="B7" s="14"/>
      <c r="C7" s="4"/>
      <c r="D7" s="4"/>
      <c r="E7" s="5"/>
      <c r="F7" s="3"/>
      <c r="G7" s="3"/>
    </row>
    <row r="8" spans="1:8">
      <c r="A8" s="18" t="s">
        <v>14</v>
      </c>
      <c r="B8" s="14"/>
      <c r="C8" s="4"/>
      <c r="D8" s="4">
        <f>AVERAGE(D2:D6)</f>
        <v>3.9554999999999993</v>
      </c>
      <c r="E8" s="5">
        <f t="shared" ref="E8:G8" si="4">AVERAGE(E2:E6)</f>
        <v>280.60000000000002</v>
      </c>
      <c r="F8" s="6">
        <f t="shared" si="4"/>
        <v>1249.2225000000001</v>
      </c>
      <c r="G8" s="6">
        <f t="shared" si="4"/>
        <v>323.8725</v>
      </c>
    </row>
    <row r="9" spans="1:8">
      <c r="A9" s="18" t="s">
        <v>12</v>
      </c>
      <c r="B9" s="14"/>
      <c r="C9" s="4"/>
      <c r="D9" s="4">
        <f>MAX(D2:D6)</f>
        <v>5.7374999999999998</v>
      </c>
      <c r="E9" s="5">
        <f t="shared" ref="E9:G9" si="5">MAX(E2:E6)</f>
        <v>456</v>
      </c>
      <c r="F9" s="6">
        <f t="shared" si="5"/>
        <v>2616.2999999999997</v>
      </c>
      <c r="G9" s="6">
        <f t="shared" si="5"/>
        <v>678.29999999999973</v>
      </c>
    </row>
    <row r="10" spans="1:8" ht="15.75" thickBot="1">
      <c r="A10" s="19" t="s">
        <v>13</v>
      </c>
      <c r="B10" s="14"/>
      <c r="C10" s="4"/>
      <c r="D10" s="4">
        <f>MIN(D2:D6)</f>
        <v>2.0249999999999999</v>
      </c>
      <c r="E10" s="5">
        <f t="shared" ref="E10:G10" si="6">MIN(E2:E6)</f>
        <v>123</v>
      </c>
      <c r="F10" s="6">
        <f t="shared" si="6"/>
        <v>249.07499999999999</v>
      </c>
      <c r="G10" s="6">
        <f t="shared" si="6"/>
        <v>64.574999999999989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BA83-50CE-44F7-892F-47ADA89044B6}">
  <dimension ref="A1:B8"/>
  <sheetViews>
    <sheetView topLeftCell="A6" workbookViewId="0">
      <selection activeCell="D16" sqref="D16"/>
    </sheetView>
  </sheetViews>
  <sheetFormatPr defaultRowHeight="15"/>
  <cols>
    <col min="1" max="1" width="13.42578125" customWidth="1"/>
    <col min="2" max="2" width="18.140625" customWidth="1"/>
  </cols>
  <sheetData>
    <row r="1" spans="1:2">
      <c r="A1" s="2" t="s">
        <v>15</v>
      </c>
      <c r="B1" s="2" t="s">
        <v>16</v>
      </c>
    </row>
    <row r="2" spans="1:2">
      <c r="A2" s="2" t="s">
        <v>17</v>
      </c>
      <c r="B2" s="1" t="s">
        <v>18</v>
      </c>
    </row>
    <row r="3" spans="1:2">
      <c r="A3" s="2" t="s">
        <v>3</v>
      </c>
      <c r="B3" s="1" t="s">
        <v>19</v>
      </c>
    </row>
    <row r="4" spans="1:2">
      <c r="A4" s="2" t="s">
        <v>5</v>
      </c>
      <c r="B4" s="1" t="s">
        <v>20</v>
      </c>
    </row>
    <row r="5" spans="1:2">
      <c r="A5" s="2" t="s">
        <v>6</v>
      </c>
      <c r="B5" s="1" t="s">
        <v>21</v>
      </c>
    </row>
    <row r="6" spans="1:2" ht="16.149999999999999" customHeight="1">
      <c r="A6" s="2" t="s">
        <v>14</v>
      </c>
      <c r="B6" s="1" t="s">
        <v>22</v>
      </c>
    </row>
    <row r="7" spans="1:2">
      <c r="A7" s="2" t="s">
        <v>12</v>
      </c>
      <c r="B7" s="1" t="s">
        <v>23</v>
      </c>
    </row>
    <row r="8" spans="1:2">
      <c r="A8" s="2" t="s">
        <v>13</v>
      </c>
      <c r="B8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LYONS2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2026-08-19T06:24:55Z</dcterms:created>
  <dcterms:modified xsi:type="dcterms:W3CDTF">2026-09-01T06:30:44Z</dcterms:modified>
</cp:coreProperties>
</file>